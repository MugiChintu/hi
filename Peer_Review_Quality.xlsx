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/>
  <xr:revisionPtr revIDLastSave="0" documentId="8_{FD15556D-2542-4F28-9BDC-2405D457395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2" i="1" l="1"/>
  <c r="V2" i="1" s="1"/>
  <c r="W2" i="1" s="1"/>
  <c r="T2" i="1"/>
  <c r="Y2" i="1"/>
</calcChain>
</file>

<file path=xl/sharedStrings.xml><?xml version="1.0" encoding="utf-8"?>
<sst xmlns="http://schemas.openxmlformats.org/spreadsheetml/2006/main" count="461" uniqueCount="237">
  <si>
    <t xml:space="preserve">Date </t>
  </si>
  <si>
    <t>Reviewer</t>
  </si>
  <si>
    <t>Inv Number</t>
  </si>
  <si>
    <t>CI Name</t>
  </si>
  <si>
    <t>All Actions Addressed Accurately</t>
  </si>
  <si>
    <t>Were Product return actions and DDs closed accurately</t>
  </si>
  <si>
    <t>Manufacture Date</t>
  </si>
  <si>
    <t>Were needed files uploaded</t>
  </si>
  <si>
    <t>Were files properly named</t>
  </si>
  <si>
    <t xml:space="preserve">Product Analysis Coding </t>
  </si>
  <si>
    <t>Labelling Review</t>
  </si>
  <si>
    <t>DHR Review</t>
  </si>
  <si>
    <t>Service History Review</t>
  </si>
  <si>
    <t>Risk Review</t>
  </si>
  <si>
    <t>Complaint History Review</t>
  </si>
  <si>
    <t>CAPA History Review</t>
  </si>
  <si>
    <t xml:space="preserve">QMS Record Type </t>
  </si>
  <si>
    <t>Escalation Determination</t>
  </si>
  <si>
    <t>Investigation Summary</t>
  </si>
  <si>
    <t>Total Score</t>
  </si>
  <si>
    <t>Total %</t>
  </si>
  <si>
    <t>Pass or Fail</t>
  </si>
  <si>
    <t>Score/Records</t>
  </si>
  <si>
    <t>Error Description</t>
  </si>
  <si>
    <t>Email Id</t>
  </si>
  <si>
    <t>Email Status</t>
  </si>
  <si>
    <t>Names Oly Teams</t>
  </si>
  <si>
    <t>Olympus Mail ID</t>
  </si>
  <si>
    <t>Mugi Jagadish</t>
  </si>
  <si>
    <t>INV-9015565</t>
  </si>
  <si>
    <t>Pass</t>
  </si>
  <si>
    <t>Action Required</t>
  </si>
  <si>
    <t>Demo Remark</t>
  </si>
  <si>
    <t>Purnachander Raju Battu</t>
  </si>
  <si>
    <t>Purnachanderraju.Battu@olympus.com</t>
  </si>
  <si>
    <t>Thiriveedhi Hari Prasad</t>
  </si>
  <si>
    <t>Thiriveedhi.Hariprasad@olympus.com</t>
  </si>
  <si>
    <t>C Sai Krishna</t>
  </si>
  <si>
    <t>csai.krishna@olympus.com</t>
  </si>
  <si>
    <t>Saikiran Ganji</t>
  </si>
  <si>
    <t>saikiran.ganji@olympus.com</t>
  </si>
  <si>
    <t>Reddy Mohan Sai Durga Srinivasu</t>
  </si>
  <si>
    <t>Reddy.Srinivasu@olympus.com</t>
  </si>
  <si>
    <t>P Hanmanthu</t>
  </si>
  <si>
    <t>hanmanthu.p@olympus.com</t>
  </si>
  <si>
    <t>Durgapu Gokul Krishna</t>
  </si>
  <si>
    <t>gokulkrishna.durgapu@olympus.com</t>
  </si>
  <si>
    <t>Nalumasu Lokesh</t>
  </si>
  <si>
    <t>lokesh.nalumasu@olympus.com</t>
  </si>
  <si>
    <t>Moosa Kakkidiparambil</t>
  </si>
  <si>
    <t>Moosa.Kakkidiparambil@olympus.com</t>
  </si>
  <si>
    <t>Jayanth Kumar Kambala</t>
  </si>
  <si>
    <t>jayanthkumar.kambala@olympus.com</t>
  </si>
  <si>
    <t>Kavya Thurai Arasan</t>
  </si>
  <si>
    <t>kavya.thuraiarasan@olympus.com</t>
  </si>
  <si>
    <t>Kalluri Bhargav</t>
  </si>
  <si>
    <t>kalluri.bhargav@olympus.com</t>
  </si>
  <si>
    <t>Sathish Kumar Vanam</t>
  </si>
  <si>
    <t>sathishkumar.vanam@olympus.com</t>
  </si>
  <si>
    <t>Abhishek Malviya</t>
  </si>
  <si>
    <t>Abhishek.Malviya@olympus.com</t>
  </si>
  <si>
    <t>T Suresh</t>
  </si>
  <si>
    <t>suresh.t@olympus.com</t>
  </si>
  <si>
    <t>Shyam Yallamla</t>
  </si>
  <si>
    <t>shyam.yallamla@olympus.com</t>
  </si>
  <si>
    <t>Shaik Abdul Wahaab</t>
  </si>
  <si>
    <t>shaikabdul.wahaab@olympus.com</t>
  </si>
  <si>
    <t>Deepthi Manasa Sai Mani Lakshmi Bhamidip</t>
  </si>
  <si>
    <t>DeepthiManasa.Bhamidipati@olympus.com</t>
  </si>
  <si>
    <t>Ravirala Shivamani</t>
  </si>
  <si>
    <t>shivamani.ravirala@olympus.com</t>
  </si>
  <si>
    <t>Ganji Sushmitha</t>
  </si>
  <si>
    <t>sushmitha.ganji@olympus.com</t>
  </si>
  <si>
    <t>Mudige Devipriya</t>
  </si>
  <si>
    <t>devipriya.mudige@olympus.com</t>
  </si>
  <si>
    <t>Mohiddin Shaik</t>
  </si>
  <si>
    <t>mohiddin.shaik@olympus.com</t>
  </si>
  <si>
    <t>Lokini Naveen</t>
  </si>
  <si>
    <t>naveen.lokini@olympus.com</t>
  </si>
  <si>
    <t>Kolkar Suraj Ruhith</t>
  </si>
  <si>
    <t>kolkarsuraj.ruhith@olympus.com</t>
  </si>
  <si>
    <t>Kalesha Vali Shaik</t>
  </si>
  <si>
    <t>kalesha.shaik@olympus.com</t>
  </si>
  <si>
    <t>Madaraboina Dhanusha</t>
  </si>
  <si>
    <t>madaraboina.dhanusha@olympus.com</t>
  </si>
  <si>
    <t>Vinnakota Masthan Babu</t>
  </si>
  <si>
    <t>MasthanBabu.Vinnakota@olympus.com</t>
  </si>
  <si>
    <t>Patlolla Yashwanth Reddy</t>
  </si>
  <si>
    <t>Yashwanthreddy.Patlolla@olympus.com</t>
  </si>
  <si>
    <t>Viharika Palakurthi</t>
  </si>
  <si>
    <t>viharika.palakurthi@olympus.com</t>
  </si>
  <si>
    <t>Syed Nisaar</t>
  </si>
  <si>
    <t>nisaar.syed@olympus.com</t>
  </si>
  <si>
    <t>Borusu Durga Sri Ravikumar</t>
  </si>
  <si>
    <t>Ravikumar.Borusu@olympus.com</t>
  </si>
  <si>
    <t>Shaik Ameer</t>
  </si>
  <si>
    <t>ameer.shaik@olympus.com</t>
  </si>
  <si>
    <t>Santhosh Somapur</t>
  </si>
  <si>
    <t>santhosh.somapur@olympus.com</t>
  </si>
  <si>
    <t>Reshma M</t>
  </si>
  <si>
    <t>reshma.m@olympus.com</t>
  </si>
  <si>
    <t>Mekala Vipin</t>
  </si>
  <si>
    <t>vipin.mekala@olympus.com</t>
  </si>
  <si>
    <t>Manne Maha Madhavan</t>
  </si>
  <si>
    <t>madhavan.manne@olympus.com</t>
  </si>
  <si>
    <t>Katkuri Ajay Reddy</t>
  </si>
  <si>
    <t>katkuri.ajayreddy@olympus.com</t>
  </si>
  <si>
    <t>Vulisetti Janaki Ramayya</t>
  </si>
  <si>
    <t>Vulisetti.Janakiramayya@olympus.com</t>
  </si>
  <si>
    <t>Abhinav Chunchu</t>
  </si>
  <si>
    <t>abhinav.chunchu@olympus.com</t>
  </si>
  <si>
    <t>Suddapalli Venkata Sai</t>
  </si>
  <si>
    <t>VENKATASAI.SUDDAPALLI@olympus.com</t>
  </si>
  <si>
    <t>Avula Srikanth</t>
  </si>
  <si>
    <t>srikanth.avula@olympus.com</t>
  </si>
  <si>
    <t>Bonda Harikanth</t>
  </si>
  <si>
    <t>harikanth.bonda@olympus.com</t>
  </si>
  <si>
    <t>Sajid Shaik</t>
  </si>
  <si>
    <t>sajid.shaik@olympus.com</t>
  </si>
  <si>
    <t>Ravoor Sujitha</t>
  </si>
  <si>
    <t>sujitha.ravoor@olympus.com</t>
  </si>
  <si>
    <t>Pattem Maruthi Vara Prasad</t>
  </si>
  <si>
    <t>Maruthi.Pattem@olympus.com</t>
  </si>
  <si>
    <t>Nati Venkata Rama Krishna</t>
  </si>
  <si>
    <t>VENKATARAMAKRISHNA.NATI@olympus.com</t>
  </si>
  <si>
    <t>mugi.jagadish@olympus.com</t>
  </si>
  <si>
    <t>Haripriya Kolukula</t>
  </si>
  <si>
    <t>haripriya.kolukula@olympus.com</t>
  </si>
  <si>
    <t>Harshavardhan Roy</t>
  </si>
  <si>
    <t>harshavardhan.roy@olympus.com</t>
  </si>
  <si>
    <t>Kishore Navyasree</t>
  </si>
  <si>
    <t>navyasree.kishore@olympus.com</t>
  </si>
  <si>
    <t>Abinesh S</t>
  </si>
  <si>
    <t>abinesh.s@olympus.com</t>
  </si>
  <si>
    <t>Adithya MA</t>
  </si>
  <si>
    <t>adithya.ma@olympus.com</t>
  </si>
  <si>
    <t>VijayRaj S</t>
  </si>
  <si>
    <t>Vijayraj.S@olympus.com</t>
  </si>
  <si>
    <t>Suvankumar SK</t>
  </si>
  <si>
    <t>suvankumar.sk@olympus.com</t>
  </si>
  <si>
    <t>Surya S</t>
  </si>
  <si>
    <t>surya.s@olympus.com</t>
  </si>
  <si>
    <t>Silambarasan Jayaraman</t>
  </si>
  <si>
    <t>SILAMBARASAN.JAYARAMAN@olympus.com</t>
  </si>
  <si>
    <t>Dharani P</t>
  </si>
  <si>
    <t>dharani.p@olympus.com</t>
  </si>
  <si>
    <t>Pratikshya Pattanayak</t>
  </si>
  <si>
    <t>Pratikshya.Pattanayak@olympus.com</t>
  </si>
  <si>
    <t>Muneeswari P</t>
  </si>
  <si>
    <t>muneeswari.p@olympus.com</t>
  </si>
  <si>
    <t>Mukesh M</t>
  </si>
  <si>
    <t>mukesh.m@olympus.com</t>
  </si>
  <si>
    <t>GokulRaj G</t>
  </si>
  <si>
    <t>gokulraj.g@olympus.com</t>
  </si>
  <si>
    <t>HariPrasath VS</t>
  </si>
  <si>
    <t>hariprasath.vs@olympus.com</t>
  </si>
  <si>
    <t>Madhavan G</t>
  </si>
  <si>
    <t>madhavan.g@olympus.com</t>
  </si>
  <si>
    <t>JeyaSuki D</t>
  </si>
  <si>
    <t>jeyasuki.d@olympus.com</t>
  </si>
  <si>
    <t>Vijayaraghul R</t>
  </si>
  <si>
    <t>vijayaraghul.r@olympus.com</t>
  </si>
  <si>
    <t>Sreejith V</t>
  </si>
  <si>
    <t>sreejith.v@olympus.com</t>
  </si>
  <si>
    <t>Arunpandian R</t>
  </si>
  <si>
    <t>arunpandian.r@olympus.com</t>
  </si>
  <si>
    <t>Sujinther S</t>
  </si>
  <si>
    <t>sujinther.s@olympus.com</t>
  </si>
  <si>
    <t>AshisKumar Nayak</t>
  </si>
  <si>
    <t>ashiskumar.nayak@olympus.com</t>
  </si>
  <si>
    <t>Shruthika S</t>
  </si>
  <si>
    <t>shruthika.s@olympus.com</t>
  </si>
  <si>
    <t>Samprikta Adhikari</t>
  </si>
  <si>
    <t>samprikta.adhikari@olympus.com</t>
  </si>
  <si>
    <t>Sachin Murugan</t>
  </si>
  <si>
    <t>sachin.murugan@olympus.com</t>
  </si>
  <si>
    <t>Nivetha S</t>
  </si>
  <si>
    <t>nivetha.s@olympus.com</t>
  </si>
  <si>
    <t>Hari Saravanakumar</t>
  </si>
  <si>
    <t>hari.saravanakumar@olympus.com</t>
  </si>
  <si>
    <t>MohamedNasim M</t>
  </si>
  <si>
    <t>mohamednasim.m@olympus.com</t>
  </si>
  <si>
    <t>Haripriya R</t>
  </si>
  <si>
    <t>haripriya.r@olympus.com</t>
  </si>
  <si>
    <t>Keerthivasan B</t>
  </si>
  <si>
    <t>keerthivasan.b@olympus.com</t>
  </si>
  <si>
    <t>Aarthi J</t>
  </si>
  <si>
    <t>aarthi.j@olympus.com</t>
  </si>
  <si>
    <t>Velmani A</t>
  </si>
  <si>
    <t>velmani.a@olympus.com</t>
  </si>
  <si>
    <t>AlexNarayanan Balakrishnan</t>
  </si>
  <si>
    <t>Alex.Balakrishnan@olympus.com</t>
  </si>
  <si>
    <t>Varshini NM</t>
  </si>
  <si>
    <t>varshini.nm@olympus.com</t>
  </si>
  <si>
    <t>VaishnaviDevi TS</t>
  </si>
  <si>
    <t>vaishnavidevi.ts@olympus.com</t>
  </si>
  <si>
    <t>Swetha V</t>
  </si>
  <si>
    <t>swetha.v@olympus.com</t>
  </si>
  <si>
    <t>Anitha S</t>
  </si>
  <si>
    <t>anitha.s@olympus.com</t>
  </si>
  <si>
    <t>Arasakumar A</t>
  </si>
  <si>
    <t>arasakumar.a@olympus.com</t>
  </si>
  <si>
    <t>Sushmitha S</t>
  </si>
  <si>
    <t>sushmitha.s@olympus.com</t>
  </si>
  <si>
    <t>Deepa M</t>
  </si>
  <si>
    <t>deepa.m@olympus.com</t>
  </si>
  <si>
    <t>RajaGopal Murugesan</t>
  </si>
  <si>
    <t>rajagopal.murugesan@olympus.com</t>
  </si>
  <si>
    <t>NagaArjun KG</t>
  </si>
  <si>
    <t>nagaarjun.kg@olympus.com</t>
  </si>
  <si>
    <t>Gajalakshmi K</t>
  </si>
  <si>
    <t>gajalakshmi.k@olympus.com</t>
  </si>
  <si>
    <t>Wanadhi MRS</t>
  </si>
  <si>
    <t>wanadhi.mrs@olympus.com</t>
  </si>
  <si>
    <t>VivekGovardhan C</t>
  </si>
  <si>
    <t>vivekgovardhan.c@olympus.com</t>
  </si>
  <si>
    <t>AnanthaBalan V</t>
  </si>
  <si>
    <t>ananthabalan.v@olympus.com</t>
  </si>
  <si>
    <t>Sriharan S</t>
  </si>
  <si>
    <t>sriharan.s@olympus.com</t>
  </si>
  <si>
    <t>SornamalaRamya K</t>
  </si>
  <si>
    <t>sornamalaramya.k@olympus.com</t>
  </si>
  <si>
    <t>Sobana R</t>
  </si>
  <si>
    <t>sobana.r@olympus.com</t>
  </si>
  <si>
    <t>Saravanan V</t>
  </si>
  <si>
    <t>saravanan.v@olympus.com</t>
  </si>
  <si>
    <t>Sanmitaa S</t>
  </si>
  <si>
    <t>sanmitaa.s@olympus.com</t>
  </si>
  <si>
    <t>DhineshKanna AT</t>
  </si>
  <si>
    <t>dhineshkanna.at@olympus.com</t>
  </si>
  <si>
    <t>MavinKumar M</t>
  </si>
  <si>
    <t>karthikrajan.d@olympus.com</t>
  </si>
  <si>
    <t>Jeeva M</t>
  </si>
  <si>
    <t>jeeva.m@olympus.com</t>
  </si>
  <si>
    <t>Karthikeyan S</t>
  </si>
  <si>
    <t>karthikeyan.s@olympus.com</t>
  </si>
  <si>
    <t>KarthikRajan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</si>
</sst>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4">
    <font>
      <sz val="11"/>
      <color theme="1"/>
      <name val="Aptos Narrow"/>
      <family val="2"/>
      <scheme val="minor"/>
    </font>
    <font>
      <b/>
      <sz val="11"/>
      <color theme="0"/>
      <name val="Segoe UI"/>
      <family val="2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rgb="FF44B3E1"/>
      </top>
      <bottom style="thin">
        <color rgb="FF44B3E1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" fontId="0" fillId="0" borderId="0" xfId="0" applyNumberFormat="1" applyAlignment="1">
      <alignment horizontal="center" vertical="center"/>
    </xf>
    <xf numFmtId="2" fontId="0" fillId="0" borderId="0" xfId="0" applyNumberFormat="1"/>
    <xf numFmtId="10" fontId="0" fillId="0" borderId="0" xfId="0" applyNumberFormat="1"/>
    <xf numFmtId="0" fontId="1" fillId="2" borderId="1" xfId="0" applyFont="1" applyFill="1" applyBorder="1"/>
    <xf numFmtId="0" fontId="2" fillId="3" borderId="2" xfId="0" applyFont="1" applyFill="1" applyBorder="1"/>
    <xf numFmtId="0" fontId="3" fillId="4" borderId="2" xfId="0" applyFont="1" applyFill="1" applyBorder="1"/>
    <xf numFmtId="0" fontId="3" fillId="0" borderId="2" xfId="0" applyFont="1" applyBorder="1"/>
  </cellXfs>
  <cellStyles count="1">
    <cellStyle name="Normal" xfId="0" builtinId="0"/>
  </cellStyles>
  <dxfs count="19">
    <dxf>
      <numFmt numFmtId="14" formatCode="0.00%"/>
    </dxf>
    <dxf>
      <numFmt numFmtId="2" formatCode="0.0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44B3E1"/>
        </top>
        <bottom style="thin">
          <color rgb="FF44B3E1"/>
        </bottom>
        <vertical/>
        <horizontal/>
      </border>
    </dxf>
    <dxf>
      <numFmt numFmtId="164" formatCode="[$-409]d\-mmm\-yy;@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150A1C-9411-4D0A-AB5C-AF0201DD6489}" name="Table1" displayName="Table1" ref="A1:Z2" totalsRowShown="0">
  <autoFilter ref="A1:Z2" xr:uid="{DA150A1C-9411-4D0A-AB5C-AF0201DD6489}"/>
  <tableColumns count="26">
    <tableColumn id="1" xr3:uid="{F8BE70B1-34BE-4F7F-9C93-F2C701C8F1C6}" name="Date " dataDxfId="18"/>
    <tableColumn id="2" xr3:uid="{4FAAA055-9906-4D2E-B9EB-1CE2B03ED4E6}" name="Reviewer" dataDxfId="17"/>
    <tableColumn id="3" xr3:uid="{EEC84E77-461C-4E56-A008-598ACA6FDA30}" name="Inv Number"/>
    <tableColumn id="4" xr3:uid="{F002A995-A162-4362-8CAC-DD3941F89648}" name="CI Name"/>
    <tableColumn id="5" xr3:uid="{DA74CAB2-E2B7-4CD0-A22B-B38C7558279B}" name="All Actions Addressed Accurately" dataDxfId="16"/>
    <tableColumn id="6" xr3:uid="{38163067-2DE9-43D1-8983-DB8E9403F4D2}" name="Were Product return actions and DDs closed accurately" dataDxfId="15"/>
    <tableColumn id="7" xr3:uid="{DABAC7DB-04DF-4D19-B462-6F0F9FE77F44}" name="Manufacture Date" dataDxfId="14"/>
    <tableColumn id="8" xr3:uid="{E74460CF-B4AF-42A4-9839-A0F27D4B5D44}" name="Were needed files uploaded" dataDxfId="13"/>
    <tableColumn id="9" xr3:uid="{D7F7E192-8BBA-4292-83D1-DC3D4442B19D}" name="Were files properly named" dataDxfId="12"/>
    <tableColumn id="10" xr3:uid="{D2E8F50C-3AC9-4BE2-99E3-587EE225EFD7}" name="Product Analysis Coding " dataDxfId="11"/>
    <tableColumn id="11" xr3:uid="{03055DA9-88BA-40C1-80B2-7874B2A62418}" name="Labelling Review" dataDxfId="10"/>
    <tableColumn id="12" xr3:uid="{70A1646A-4C7C-4868-B657-060CDE37C796}" name="DHR Review" dataDxfId="9"/>
    <tableColumn id="13" xr3:uid="{535408BF-4A8D-4869-90CA-0C2191B556BF}" name="Service History Review" dataDxfId="8"/>
    <tableColumn id="14" xr3:uid="{13C525BB-4230-44FA-B8DC-7E84520970E2}" name="Risk Review" dataDxfId="7"/>
    <tableColumn id="15" xr3:uid="{B137AE25-0F65-416C-97F2-F3F67BCF7B98}" name="Complaint History Review" dataDxfId="6"/>
    <tableColumn id="16" xr3:uid="{DD874ABE-5D33-4A20-A567-F2A1858039F9}" name="CAPA History Review" dataDxfId="5"/>
    <tableColumn id="17" xr3:uid="{504D8059-ED5C-4F38-B6EC-54D36E6905AE}" name="QMS Record Type " dataDxfId="4"/>
    <tableColumn id="18" xr3:uid="{B349BEDE-2764-4350-B749-DF131C5BB016}" name="Escalation Determination" dataDxfId="3"/>
    <tableColumn id="19" xr3:uid="{23E5EBA3-4063-43CA-8DD1-C10839E3A892}" name="Investigation Summary" dataDxfId="2"/>
    <tableColumn id="20" xr3:uid="{9D4A09F4-B418-459C-BFE1-A0DA8C7F8526}" name="Total Score" dataDxfId="1">
      <calculatedColumnFormula>IF(COUNTA(E2:S2)=0,"",COUNTIF(E2:S2,"Pass"))</calculatedColumnFormula>
    </tableColumn>
    <tableColumn id="21" xr3:uid="{4F0ED6F8-A4E2-4B00-8C5C-8C4197919B45}" name="Total %" dataDxfId="0">
      <calculatedColumnFormula>IF(COUNTA(E2:S2)=0,"",COUNTIF(E2:S2,"Pass")/COUNTA(E2:S2))</calculatedColumnFormula>
    </tableColumn>
    <tableColumn id="22" xr3:uid="{6370AD4D-6118-4CCD-BE14-6DBA5A97D55B}" name="Pass or Fail">
      <calculatedColumnFormula>IF(U2=1,"Pass","Fail")</calculatedColumnFormula>
    </tableColumn>
    <tableColumn id="23" xr3:uid="{F1119703-F04D-424A-A5E0-DE65AFC68CB3}" name="Score/Records">
      <calculatedColumnFormula>IF(Table1[[#This Row],[Pass or Fail]]="Pass","Perfect","Error")</calculatedColumnFormula>
    </tableColumn>
    <tableColumn id="24" xr3:uid="{E0D73072-08C5-4AF1-B632-C60FE5657477}" name="Error Description"/>
    <tableColumn id="25" xr3:uid="{23913030-7009-4C05-AE0A-EC45DA663A0D}" name="Email Id">
      <calculatedColumnFormula>_xlfn.XLOOKUP(B2,BA:BA,BB:BB,0,0,1)</calculatedColumnFormula>
    </tableColumn>
    <tableColumn id="26" xr3:uid="{AB990CA9-7A73-4BA2-ABC4-6322B1203037}" name="Email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04"/>
  <sheetViews>
    <sheetView tabSelected="1" topLeftCell="Q1" workbookViewId="0">
      <selection activeCell="S14" sqref="S14"/>
    </sheetView>
  </sheetViews>
  <sheetFormatPr defaultRowHeight="15"/>
  <cols>
    <col min="1" max="1" width="10.7109375" bestFit="1" customWidth="1"/>
    <col min="2" max="2" width="31.7109375" bestFit="1" customWidth="1"/>
    <col min="3" max="3" width="15.7109375" bestFit="1" customWidth="1"/>
    <col min="4" max="4" width="31.7109375" bestFit="1" customWidth="1"/>
    <col min="5" max="5" width="41.28515625" bestFit="1" customWidth="1"/>
    <col min="6" max="6" width="64.28515625" bestFit="1" customWidth="1"/>
    <col min="7" max="7" width="24.85546875" bestFit="1" customWidth="1"/>
    <col min="8" max="8" width="36.28515625" bestFit="1" customWidth="1"/>
    <col min="9" max="9" width="34.7109375" bestFit="1" customWidth="1"/>
    <col min="10" max="10" width="33" bestFit="1" customWidth="1"/>
    <col min="11" max="11" width="23.7109375" bestFit="1" customWidth="1"/>
    <col min="12" max="12" width="18.7109375" bestFit="1" customWidth="1"/>
    <col min="13" max="13" width="29.7109375" bestFit="1" customWidth="1"/>
    <col min="14" max="14" width="18.28515625" bestFit="1" customWidth="1"/>
    <col min="15" max="15" width="33.140625" bestFit="1" customWidth="1"/>
    <col min="16" max="16" width="28" bestFit="1" customWidth="1"/>
    <col min="17" max="17" width="40.28515625" bestFit="1" customWidth="1"/>
    <col min="18" max="18" width="32.140625" bestFit="1" customWidth="1"/>
    <col min="19" max="19" width="30.140625" bestFit="1" customWidth="1"/>
    <col min="20" max="20" width="15.140625" bestFit="1" customWidth="1"/>
    <col min="21" max="21" width="11.42578125" bestFit="1" customWidth="1"/>
    <col min="22" max="22" width="14.85546875" bestFit="1" customWidth="1"/>
    <col min="23" max="23" width="16.7109375" customWidth="1"/>
    <col min="24" max="24" width="66.5703125" bestFit="1" customWidth="1"/>
    <col min="25" max="25" width="60.140625" customWidth="1"/>
    <col min="26" max="26" width="14.5703125" bestFit="1" customWidth="1"/>
    <col min="53" max="54" width="0" hidden="1" customWidth="1"/>
  </cols>
  <sheetData>
    <row r="1" spans="1:54" ht="16.5">
      <c r="A1" s="1" t="s">
        <v>0</v>
      </c>
      <c r="B1" t="s">
        <v>1</v>
      </c>
      <c r="C1" t="s">
        <v>2</v>
      </c>
      <c r="D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  <c r="U1" s="4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BA1" s="5" t="s">
        <v>26</v>
      </c>
      <c r="BB1" s="6" t="s">
        <v>27</v>
      </c>
    </row>
    <row r="2" spans="1:54">
      <c r="A2" s="1">
        <v>46176</v>
      </c>
      <c r="B2" s="7" t="s">
        <v>28</v>
      </c>
      <c r="C2" t="s">
        <v>29</v>
      </c>
      <c r="D2" t="s">
        <v>28</v>
      </c>
      <c r="E2" s="2" t="s">
        <v>30</v>
      </c>
      <c r="F2" s="2" t="s">
        <v>30</v>
      </c>
      <c r="G2" s="2" t="s">
        <v>30</v>
      </c>
      <c r="H2" s="2" t="s">
        <v>30</v>
      </c>
      <c r="I2" s="2" t="s">
        <v>30</v>
      </c>
      <c r="J2" s="2" t="s">
        <v>30</v>
      </c>
      <c r="K2" s="2" t="s">
        <v>30</v>
      </c>
      <c r="L2" s="2" t="s">
        <v>30</v>
      </c>
      <c r="M2" s="2" t="s">
        <v>30</v>
      </c>
      <c r="N2" s="2" t="s">
        <v>30</v>
      </c>
      <c r="O2" s="2" t="s">
        <v>30</v>
      </c>
      <c r="P2" s="2" t="s">
        <v>30</v>
      </c>
      <c r="Q2" s="2" t="s">
        <v>30</v>
      </c>
      <c r="R2" s="2" t="s">
        <v>30</v>
      </c>
      <c r="S2" s="2" t="s">
        <v>31</v>
      </c>
      <c r="T2" s="3">
        <f>IF(COUNTA(E2:S2)=0,"",COUNTIF(E2:S2,"Pass"))</f>
        <v>14</v>
      </c>
      <c r="U2" s="4">
        <f>IF(COUNTA(E2:S2)=0,"",COUNTIF(E2:S2,"Pass")/COUNTA(E2:S2))</f>
        <v>0.93333333333333335</v>
      </c>
      <c r="V2" t="str">
        <f>IF(U2=1,"Pass","Fail")</f>
        <v>Fail</v>
      </c>
      <c r="W2" t="str">
        <f>IF(Table1[[#This Row],[Pass or Fail]]="Pass","Perfect","Error")</f>
        <v>Error</v>
      </c>
      <c r="X2" t="s">
        <v>32</v>
      </c>
      <c r="Y2" t="str">
        <f>_xlfn.XLOOKUP(B2,BA:BA,BB:BB,0,0,1)</f>
        <v>mugi.jagadish@olympus.com</v>
      </c>
      <c r="BA2" s="7" t="s">
        <v>33</v>
      </c>
      <c r="BB2" s="7" t="s">
        <v>34</v>
      </c>
    </row>
    <row r="3" spans="1:54">
      <c r="BA3" s="8" t="s">
        <v>35</v>
      </c>
      <c r="BB3" s="8" t="s">
        <v>36</v>
      </c>
    </row>
    <row r="4" spans="1:54">
      <c r="BA4" s="7" t="s">
        <v>37</v>
      </c>
      <c r="BB4" s="7" t="s">
        <v>38</v>
      </c>
    </row>
    <row r="5" spans="1:54">
      <c r="BA5" s="8" t="s">
        <v>39</v>
      </c>
      <c r="BB5" s="8" t="s">
        <v>40</v>
      </c>
    </row>
    <row r="6" spans="1:54">
      <c r="BA6" s="7" t="s">
        <v>41</v>
      </c>
      <c r="BB6" s="7" t="s">
        <v>42</v>
      </c>
    </row>
    <row r="7" spans="1:54">
      <c r="BA7" s="8" t="s">
        <v>43</v>
      </c>
      <c r="BB7" s="8" t="s">
        <v>44</v>
      </c>
    </row>
    <row r="8" spans="1:54">
      <c r="BA8" s="7" t="s">
        <v>45</v>
      </c>
      <c r="BB8" s="7" t="s">
        <v>46</v>
      </c>
    </row>
    <row r="9" spans="1:54">
      <c r="BA9" s="8" t="s">
        <v>47</v>
      </c>
      <c r="BB9" s="8" t="s">
        <v>48</v>
      </c>
    </row>
    <row r="10" spans="1:54">
      <c r="BA10" s="7" t="s">
        <v>49</v>
      </c>
      <c r="BB10" s="7" t="s">
        <v>50</v>
      </c>
    </row>
    <row r="11" spans="1:54">
      <c r="BA11" s="8" t="s">
        <v>51</v>
      </c>
      <c r="BB11" s="8" t="s">
        <v>52</v>
      </c>
    </row>
    <row r="12" spans="1:54">
      <c r="BA12" s="7" t="s">
        <v>53</v>
      </c>
      <c r="BB12" s="7" t="s">
        <v>54</v>
      </c>
    </row>
    <row r="13" spans="1:54">
      <c r="BA13" s="8" t="s">
        <v>55</v>
      </c>
      <c r="BB13" s="8" t="s">
        <v>56</v>
      </c>
    </row>
    <row r="14" spans="1:54">
      <c r="BA14" s="7" t="s">
        <v>57</v>
      </c>
      <c r="BB14" s="7" t="s">
        <v>58</v>
      </c>
    </row>
    <row r="15" spans="1:54">
      <c r="BA15" s="8" t="s">
        <v>59</v>
      </c>
      <c r="BB15" s="8" t="s">
        <v>60</v>
      </c>
    </row>
    <row r="16" spans="1:54">
      <c r="BA16" s="7" t="s">
        <v>61</v>
      </c>
      <c r="BB16" s="7" t="s">
        <v>62</v>
      </c>
    </row>
    <row r="17" spans="53:54">
      <c r="BA17" s="8" t="s">
        <v>63</v>
      </c>
      <c r="BB17" s="8" t="s">
        <v>64</v>
      </c>
    </row>
    <row r="18" spans="53:54">
      <c r="BA18" s="7" t="s">
        <v>65</v>
      </c>
      <c r="BB18" s="7" t="s">
        <v>66</v>
      </c>
    </row>
    <row r="19" spans="53:54">
      <c r="BA19" s="8" t="s">
        <v>67</v>
      </c>
      <c r="BB19" s="8" t="s">
        <v>68</v>
      </c>
    </row>
    <row r="20" spans="53:54">
      <c r="BA20" s="7" t="s">
        <v>69</v>
      </c>
      <c r="BB20" s="7" t="s">
        <v>70</v>
      </c>
    </row>
    <row r="21" spans="53:54">
      <c r="BA21" s="8" t="s">
        <v>71</v>
      </c>
      <c r="BB21" s="8" t="s">
        <v>72</v>
      </c>
    </row>
    <row r="22" spans="53:54">
      <c r="BA22" s="7" t="s">
        <v>73</v>
      </c>
      <c r="BB22" s="7" t="s">
        <v>74</v>
      </c>
    </row>
    <row r="23" spans="53:54">
      <c r="BA23" s="8" t="s">
        <v>75</v>
      </c>
      <c r="BB23" s="8" t="s">
        <v>76</v>
      </c>
    </row>
    <row r="24" spans="53:54">
      <c r="BA24" s="7" t="s">
        <v>77</v>
      </c>
      <c r="BB24" s="7" t="s">
        <v>78</v>
      </c>
    </row>
    <row r="25" spans="53:54">
      <c r="BA25" s="8" t="s">
        <v>79</v>
      </c>
      <c r="BB25" s="8" t="s">
        <v>80</v>
      </c>
    </row>
    <row r="26" spans="53:54">
      <c r="BA26" s="7" t="s">
        <v>81</v>
      </c>
      <c r="BB26" s="7" t="s">
        <v>82</v>
      </c>
    </row>
    <row r="27" spans="53:54">
      <c r="BA27" s="8" t="s">
        <v>83</v>
      </c>
      <c r="BB27" s="8" t="s">
        <v>84</v>
      </c>
    </row>
    <row r="28" spans="53:54">
      <c r="BA28" s="7" t="s">
        <v>85</v>
      </c>
      <c r="BB28" s="7" t="s">
        <v>86</v>
      </c>
    </row>
    <row r="29" spans="53:54">
      <c r="BA29" s="8" t="s">
        <v>87</v>
      </c>
      <c r="BB29" s="8" t="s">
        <v>88</v>
      </c>
    </row>
    <row r="30" spans="53:54">
      <c r="BA30" s="7" t="s">
        <v>89</v>
      </c>
      <c r="BB30" s="7" t="s">
        <v>90</v>
      </c>
    </row>
    <row r="31" spans="53:54">
      <c r="BA31" s="8" t="s">
        <v>91</v>
      </c>
      <c r="BB31" s="8" t="s">
        <v>92</v>
      </c>
    </row>
    <row r="32" spans="53:54">
      <c r="BA32" s="7" t="s">
        <v>93</v>
      </c>
      <c r="BB32" s="7" t="s">
        <v>94</v>
      </c>
    </row>
    <row r="33" spans="53:54">
      <c r="BA33" s="8" t="s">
        <v>95</v>
      </c>
      <c r="BB33" s="8" t="s">
        <v>96</v>
      </c>
    </row>
    <row r="34" spans="53:54">
      <c r="BA34" s="7" t="s">
        <v>97</v>
      </c>
      <c r="BB34" s="7" t="s">
        <v>98</v>
      </c>
    </row>
    <row r="35" spans="53:54">
      <c r="BA35" s="8" t="s">
        <v>99</v>
      </c>
      <c r="BB35" s="8" t="s">
        <v>100</v>
      </c>
    </row>
    <row r="36" spans="53:54">
      <c r="BA36" s="7" t="s">
        <v>101</v>
      </c>
      <c r="BB36" s="7" t="s">
        <v>102</v>
      </c>
    </row>
    <row r="37" spans="53:54">
      <c r="BA37" s="8" t="s">
        <v>103</v>
      </c>
      <c r="BB37" s="8" t="s">
        <v>104</v>
      </c>
    </row>
    <row r="38" spans="53:54">
      <c r="BA38" s="7" t="s">
        <v>105</v>
      </c>
      <c r="BB38" s="7" t="s">
        <v>106</v>
      </c>
    </row>
    <row r="39" spans="53:54">
      <c r="BA39" s="8" t="s">
        <v>107</v>
      </c>
      <c r="BB39" s="8" t="s">
        <v>108</v>
      </c>
    </row>
    <row r="40" spans="53:54">
      <c r="BA40" s="7" t="s">
        <v>109</v>
      </c>
      <c r="BB40" s="7" t="s">
        <v>110</v>
      </c>
    </row>
    <row r="41" spans="53:54">
      <c r="BA41" s="8" t="s">
        <v>111</v>
      </c>
      <c r="BB41" s="8" t="s">
        <v>112</v>
      </c>
    </row>
    <row r="42" spans="53:54">
      <c r="BA42" s="7" t="s">
        <v>113</v>
      </c>
      <c r="BB42" s="7" t="s">
        <v>114</v>
      </c>
    </row>
    <row r="43" spans="53:54">
      <c r="BA43" s="8" t="s">
        <v>115</v>
      </c>
      <c r="BB43" s="8" t="s">
        <v>116</v>
      </c>
    </row>
    <row r="44" spans="53:54">
      <c r="BA44" s="7" t="s">
        <v>117</v>
      </c>
      <c r="BB44" s="7" t="s">
        <v>118</v>
      </c>
    </row>
    <row r="45" spans="53:54">
      <c r="BA45" s="8" t="s">
        <v>119</v>
      </c>
      <c r="BB45" s="8" t="s">
        <v>120</v>
      </c>
    </row>
    <row r="46" spans="53:54">
      <c r="BA46" s="7" t="s">
        <v>121</v>
      </c>
      <c r="BB46" s="7" t="s">
        <v>122</v>
      </c>
    </row>
    <row r="47" spans="53:54">
      <c r="BA47" s="8" t="s">
        <v>123</v>
      </c>
      <c r="BB47" s="8" t="s">
        <v>124</v>
      </c>
    </row>
    <row r="48" spans="53:54">
      <c r="BA48" s="7" t="s">
        <v>28</v>
      </c>
      <c r="BB48" s="7" t="s">
        <v>125</v>
      </c>
    </row>
    <row r="49" spans="53:54">
      <c r="BA49" s="8" t="s">
        <v>126</v>
      </c>
      <c r="BB49" s="8" t="s">
        <v>127</v>
      </c>
    </row>
    <row r="50" spans="53:54">
      <c r="BA50" s="7" t="s">
        <v>128</v>
      </c>
      <c r="BB50" s="7" t="s">
        <v>129</v>
      </c>
    </row>
    <row r="51" spans="53:54">
      <c r="BA51" s="8" t="s">
        <v>130</v>
      </c>
      <c r="BB51" s="8" t="s">
        <v>131</v>
      </c>
    </row>
    <row r="52" spans="53:54">
      <c r="BA52" s="7" t="s">
        <v>132</v>
      </c>
      <c r="BB52" s="7" t="s">
        <v>133</v>
      </c>
    </row>
    <row r="53" spans="53:54">
      <c r="BA53" s="8" t="s">
        <v>134</v>
      </c>
      <c r="BB53" s="8" t="s">
        <v>135</v>
      </c>
    </row>
    <row r="54" spans="53:54">
      <c r="BA54" s="7" t="s">
        <v>136</v>
      </c>
      <c r="BB54" s="7" t="s">
        <v>137</v>
      </c>
    </row>
    <row r="55" spans="53:54">
      <c r="BA55" s="8" t="s">
        <v>138</v>
      </c>
      <c r="BB55" s="8" t="s">
        <v>139</v>
      </c>
    </row>
    <row r="56" spans="53:54">
      <c r="BA56" s="7" t="s">
        <v>140</v>
      </c>
      <c r="BB56" s="7" t="s">
        <v>141</v>
      </c>
    </row>
    <row r="57" spans="53:54">
      <c r="BA57" s="8" t="s">
        <v>142</v>
      </c>
      <c r="BB57" s="8" t="s">
        <v>143</v>
      </c>
    </row>
    <row r="58" spans="53:54">
      <c r="BA58" s="7" t="s">
        <v>144</v>
      </c>
      <c r="BB58" s="7" t="s">
        <v>145</v>
      </c>
    </row>
    <row r="59" spans="53:54">
      <c r="BA59" s="8" t="s">
        <v>146</v>
      </c>
      <c r="BB59" s="8" t="s">
        <v>147</v>
      </c>
    </row>
    <row r="60" spans="53:54">
      <c r="BA60" s="7" t="s">
        <v>148</v>
      </c>
      <c r="BB60" s="7" t="s">
        <v>149</v>
      </c>
    </row>
    <row r="61" spans="53:54">
      <c r="BA61" s="8" t="s">
        <v>150</v>
      </c>
      <c r="BB61" s="8" t="s">
        <v>151</v>
      </c>
    </row>
    <row r="62" spans="53:54">
      <c r="BA62" s="7" t="s">
        <v>152</v>
      </c>
      <c r="BB62" s="7" t="s">
        <v>153</v>
      </c>
    </row>
    <row r="63" spans="53:54">
      <c r="BA63" s="8" t="s">
        <v>154</v>
      </c>
      <c r="BB63" s="8" t="s">
        <v>155</v>
      </c>
    </row>
    <row r="64" spans="53:54">
      <c r="BA64" s="7" t="s">
        <v>156</v>
      </c>
      <c r="BB64" s="7" t="s">
        <v>157</v>
      </c>
    </row>
    <row r="65" spans="53:54">
      <c r="BA65" s="8" t="s">
        <v>158</v>
      </c>
      <c r="BB65" s="8" t="s">
        <v>159</v>
      </c>
    </row>
    <row r="66" spans="53:54">
      <c r="BA66" s="7" t="s">
        <v>160</v>
      </c>
      <c r="BB66" s="7" t="s">
        <v>161</v>
      </c>
    </row>
    <row r="67" spans="53:54">
      <c r="BA67" s="8" t="s">
        <v>162</v>
      </c>
      <c r="BB67" s="8" t="s">
        <v>163</v>
      </c>
    </row>
    <row r="68" spans="53:54">
      <c r="BA68" s="7" t="s">
        <v>164</v>
      </c>
      <c r="BB68" s="7" t="s">
        <v>165</v>
      </c>
    </row>
    <row r="69" spans="53:54">
      <c r="BA69" s="8" t="s">
        <v>166</v>
      </c>
      <c r="BB69" s="8" t="s">
        <v>167</v>
      </c>
    </row>
    <row r="70" spans="53:54">
      <c r="BA70" s="7" t="s">
        <v>168</v>
      </c>
      <c r="BB70" s="7" t="s">
        <v>169</v>
      </c>
    </row>
    <row r="71" spans="53:54">
      <c r="BA71" s="8" t="s">
        <v>170</v>
      </c>
      <c r="BB71" s="8" t="s">
        <v>171</v>
      </c>
    </row>
    <row r="72" spans="53:54">
      <c r="BA72" s="7" t="s">
        <v>172</v>
      </c>
      <c r="BB72" s="7" t="s">
        <v>173</v>
      </c>
    </row>
    <row r="73" spans="53:54">
      <c r="BA73" s="8" t="s">
        <v>174</v>
      </c>
      <c r="BB73" s="8" t="s">
        <v>175</v>
      </c>
    </row>
    <row r="74" spans="53:54">
      <c r="BA74" s="7" t="s">
        <v>176</v>
      </c>
      <c r="BB74" s="7" t="s">
        <v>177</v>
      </c>
    </row>
    <row r="75" spans="53:54">
      <c r="BA75" s="8" t="s">
        <v>178</v>
      </c>
      <c r="BB75" s="8" t="s">
        <v>179</v>
      </c>
    </row>
    <row r="76" spans="53:54">
      <c r="BA76" s="7" t="s">
        <v>180</v>
      </c>
      <c r="BB76" s="7" t="s">
        <v>181</v>
      </c>
    </row>
    <row r="77" spans="53:54">
      <c r="BA77" s="8" t="s">
        <v>182</v>
      </c>
      <c r="BB77" s="8" t="s">
        <v>183</v>
      </c>
    </row>
    <row r="78" spans="53:54">
      <c r="BA78" s="7" t="s">
        <v>184</v>
      </c>
      <c r="BB78" s="7" t="s">
        <v>185</v>
      </c>
    </row>
    <row r="79" spans="53:54">
      <c r="BA79" s="8" t="s">
        <v>186</v>
      </c>
      <c r="BB79" s="8" t="s">
        <v>187</v>
      </c>
    </row>
    <row r="80" spans="53:54">
      <c r="BA80" s="7" t="s">
        <v>188</v>
      </c>
      <c r="BB80" s="7" t="s">
        <v>189</v>
      </c>
    </row>
    <row r="81" spans="53:54">
      <c r="BA81" s="8" t="s">
        <v>190</v>
      </c>
      <c r="BB81" s="8" t="s">
        <v>191</v>
      </c>
    </row>
    <row r="82" spans="53:54">
      <c r="BA82" s="7" t="s">
        <v>192</v>
      </c>
      <c r="BB82" s="7" t="s">
        <v>193</v>
      </c>
    </row>
    <row r="83" spans="53:54">
      <c r="BA83" s="8" t="s">
        <v>194</v>
      </c>
      <c r="BB83" s="8" t="s">
        <v>195</v>
      </c>
    </row>
    <row r="84" spans="53:54">
      <c r="BA84" s="7" t="s">
        <v>196</v>
      </c>
      <c r="BB84" s="7" t="s">
        <v>197</v>
      </c>
    </row>
    <row r="85" spans="53:54">
      <c r="BA85" s="8" t="s">
        <v>198</v>
      </c>
      <c r="BB85" s="8" t="s">
        <v>199</v>
      </c>
    </row>
    <row r="86" spans="53:54">
      <c r="BA86" s="7" t="s">
        <v>200</v>
      </c>
      <c r="BB86" s="7" t="s">
        <v>201</v>
      </c>
    </row>
    <row r="87" spans="53:54">
      <c r="BA87" s="8" t="s">
        <v>202</v>
      </c>
      <c r="BB87" s="8" t="s">
        <v>203</v>
      </c>
    </row>
    <row r="88" spans="53:54">
      <c r="BA88" s="7" t="s">
        <v>204</v>
      </c>
      <c r="BB88" s="7" t="s">
        <v>205</v>
      </c>
    </row>
    <row r="89" spans="53:54">
      <c r="BA89" s="8" t="s">
        <v>206</v>
      </c>
      <c r="BB89" s="8" t="s">
        <v>207</v>
      </c>
    </row>
    <row r="90" spans="53:54">
      <c r="BA90" s="7" t="s">
        <v>208</v>
      </c>
      <c r="BB90" s="7" t="s">
        <v>209</v>
      </c>
    </row>
    <row r="91" spans="53:54">
      <c r="BA91" s="8" t="s">
        <v>210</v>
      </c>
      <c r="BB91" s="8" t="s">
        <v>211</v>
      </c>
    </row>
    <row r="92" spans="53:54">
      <c r="BA92" s="7" t="s">
        <v>212</v>
      </c>
      <c r="BB92" s="7" t="s">
        <v>213</v>
      </c>
    </row>
    <row r="93" spans="53:54">
      <c r="BA93" s="8" t="s">
        <v>214</v>
      </c>
      <c r="BB93" s="8" t="s">
        <v>215</v>
      </c>
    </row>
    <row r="94" spans="53:54">
      <c r="BA94" s="7" t="s">
        <v>216</v>
      </c>
      <c r="BB94" s="7" t="s">
        <v>217</v>
      </c>
    </row>
    <row r="95" spans="53:54">
      <c r="BA95" s="8" t="s">
        <v>218</v>
      </c>
      <c r="BB95" s="8" t="s">
        <v>219</v>
      </c>
    </row>
    <row r="96" spans="53:54">
      <c r="BA96" s="7" t="s">
        <v>220</v>
      </c>
      <c r="BB96" s="7" t="s">
        <v>221</v>
      </c>
    </row>
    <row r="97" spans="53:54">
      <c r="BA97" s="8" t="s">
        <v>222</v>
      </c>
      <c r="BB97" s="8" t="s">
        <v>223</v>
      </c>
    </row>
    <row r="98" spans="53:54">
      <c r="BA98" s="7" t="s">
        <v>224</v>
      </c>
      <c r="BB98" s="7" t="s">
        <v>225</v>
      </c>
    </row>
    <row r="99" spans="53:54">
      <c r="BA99" s="8" t="s">
        <v>226</v>
      </c>
      <c r="BB99" s="8" t="s">
        <v>227</v>
      </c>
    </row>
    <row r="100" spans="53:54">
      <c r="BA100" s="7" t="s">
        <v>228</v>
      </c>
      <c r="BB100" s="7" t="s">
        <v>229</v>
      </c>
    </row>
    <row r="101" spans="53:54">
      <c r="BA101" s="8" t="s">
        <v>230</v>
      </c>
      <c r="BB101" s="8" t="s">
        <v>231</v>
      </c>
    </row>
    <row r="102" spans="53:54">
      <c r="BA102" s="7" t="s">
        <v>232</v>
      </c>
      <c r="BB102" s="7" t="s">
        <v>233</v>
      </c>
    </row>
    <row r="103" spans="53:54">
      <c r="BA103" s="8" t="s">
        <v>234</v>
      </c>
      <c r="BB103" s="8" t="s">
        <v>235</v>
      </c>
    </row>
    <row r="104" spans="53:54">
      <c r="BA104" s="7" t="s">
        <v>236</v>
      </c>
      <c r="BB104" s="7" t="s">
        <v>231</v>
      </c>
    </row>
  </sheetData>
  <protectedRanges>
    <protectedRange sqref="X1 A1:S1" name="Range1_3"/>
    <protectedRange sqref="X2 A2:S2" name="Range1_4"/>
  </protectedRange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F1A7922-CC30-4101-AFF9-0FEA0679D07D}">
          <x14:formula1>
            <xm:f>Sheet2!$A$2:$A$104</xm:f>
          </x14:formula1>
          <xm:sqref>B2 D2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B76F2-AF3F-42F8-8112-26492D361843}">
  <dimension ref="A1:B104"/>
  <sheetViews>
    <sheetView topLeftCell="A89" workbookViewId="0"/>
  </sheetViews>
  <sheetFormatPr defaultRowHeight="15"/>
  <cols>
    <col min="1" max="1" width="19.5703125" bestFit="1" customWidth="1"/>
    <col min="2" max="2" width="40.85546875" bestFit="1" customWidth="1"/>
  </cols>
  <sheetData>
    <row r="1" spans="1:2" ht="16.5">
      <c r="A1" s="5" t="s">
        <v>26</v>
      </c>
      <c r="B1" s="6" t="s">
        <v>27</v>
      </c>
    </row>
    <row r="2" spans="1:2">
      <c r="A2" s="7" t="s">
        <v>33</v>
      </c>
      <c r="B2" s="7" t="s">
        <v>34</v>
      </c>
    </row>
    <row r="3" spans="1:2">
      <c r="A3" s="8" t="s">
        <v>35</v>
      </c>
      <c r="B3" s="8" t="s">
        <v>36</v>
      </c>
    </row>
    <row r="4" spans="1:2">
      <c r="A4" s="7" t="s">
        <v>37</v>
      </c>
      <c r="B4" s="7" t="s">
        <v>38</v>
      </c>
    </row>
    <row r="5" spans="1:2">
      <c r="A5" s="8" t="s">
        <v>39</v>
      </c>
      <c r="B5" s="8" t="s">
        <v>40</v>
      </c>
    </row>
    <row r="6" spans="1:2">
      <c r="A6" s="7" t="s">
        <v>41</v>
      </c>
      <c r="B6" s="7" t="s">
        <v>42</v>
      </c>
    </row>
    <row r="7" spans="1:2">
      <c r="A7" s="8" t="s">
        <v>43</v>
      </c>
      <c r="B7" s="8" t="s">
        <v>44</v>
      </c>
    </row>
    <row r="8" spans="1:2">
      <c r="A8" s="7" t="s">
        <v>45</v>
      </c>
      <c r="B8" s="7" t="s">
        <v>46</v>
      </c>
    </row>
    <row r="9" spans="1:2">
      <c r="A9" s="8" t="s">
        <v>47</v>
      </c>
      <c r="B9" s="8" t="s">
        <v>48</v>
      </c>
    </row>
    <row r="10" spans="1:2">
      <c r="A10" s="7" t="s">
        <v>49</v>
      </c>
      <c r="B10" s="7" t="s">
        <v>50</v>
      </c>
    </row>
    <row r="11" spans="1:2">
      <c r="A11" s="8" t="s">
        <v>51</v>
      </c>
      <c r="B11" s="8" t="s">
        <v>52</v>
      </c>
    </row>
    <row r="12" spans="1:2">
      <c r="A12" s="7" t="s">
        <v>53</v>
      </c>
      <c r="B12" s="7" t="s">
        <v>54</v>
      </c>
    </row>
    <row r="13" spans="1:2">
      <c r="A13" s="8" t="s">
        <v>55</v>
      </c>
      <c r="B13" s="8" t="s">
        <v>56</v>
      </c>
    </row>
    <row r="14" spans="1:2">
      <c r="A14" s="7" t="s">
        <v>57</v>
      </c>
      <c r="B14" s="7" t="s">
        <v>58</v>
      </c>
    </row>
    <row r="15" spans="1:2">
      <c r="A15" s="8" t="s">
        <v>59</v>
      </c>
      <c r="B15" s="8" t="s">
        <v>60</v>
      </c>
    </row>
    <row r="16" spans="1:2">
      <c r="A16" s="7" t="s">
        <v>61</v>
      </c>
      <c r="B16" s="7" t="s">
        <v>62</v>
      </c>
    </row>
    <row r="17" spans="1:2">
      <c r="A17" s="8" t="s">
        <v>63</v>
      </c>
      <c r="B17" s="8" t="s">
        <v>64</v>
      </c>
    </row>
    <row r="18" spans="1:2">
      <c r="A18" s="7" t="s">
        <v>65</v>
      </c>
      <c r="B18" s="7" t="s">
        <v>66</v>
      </c>
    </row>
    <row r="19" spans="1:2">
      <c r="A19" s="8" t="s">
        <v>67</v>
      </c>
      <c r="B19" s="8" t="s">
        <v>68</v>
      </c>
    </row>
    <row r="20" spans="1:2">
      <c r="A20" s="7" t="s">
        <v>69</v>
      </c>
      <c r="B20" s="7" t="s">
        <v>70</v>
      </c>
    </row>
    <row r="21" spans="1:2">
      <c r="A21" s="8" t="s">
        <v>71</v>
      </c>
      <c r="B21" s="8" t="s">
        <v>72</v>
      </c>
    </row>
    <row r="22" spans="1:2">
      <c r="A22" s="7" t="s">
        <v>73</v>
      </c>
      <c r="B22" s="7" t="s">
        <v>74</v>
      </c>
    </row>
    <row r="23" spans="1:2">
      <c r="A23" s="8" t="s">
        <v>75</v>
      </c>
      <c r="B23" s="8" t="s">
        <v>76</v>
      </c>
    </row>
    <row r="24" spans="1:2">
      <c r="A24" s="7" t="s">
        <v>77</v>
      </c>
      <c r="B24" s="7" t="s">
        <v>78</v>
      </c>
    </row>
    <row r="25" spans="1:2">
      <c r="A25" s="8" t="s">
        <v>79</v>
      </c>
      <c r="B25" s="8" t="s">
        <v>80</v>
      </c>
    </row>
    <row r="26" spans="1:2">
      <c r="A26" s="7" t="s">
        <v>81</v>
      </c>
      <c r="B26" s="7" t="s">
        <v>82</v>
      </c>
    </row>
    <row r="27" spans="1:2">
      <c r="A27" s="8" t="s">
        <v>83</v>
      </c>
      <c r="B27" s="8" t="s">
        <v>84</v>
      </c>
    </row>
    <row r="28" spans="1:2">
      <c r="A28" s="7" t="s">
        <v>85</v>
      </c>
      <c r="B28" s="7" t="s">
        <v>86</v>
      </c>
    </row>
    <row r="29" spans="1:2">
      <c r="A29" s="8" t="s">
        <v>87</v>
      </c>
      <c r="B29" s="8" t="s">
        <v>88</v>
      </c>
    </row>
    <row r="30" spans="1:2">
      <c r="A30" s="7" t="s">
        <v>89</v>
      </c>
      <c r="B30" s="7" t="s">
        <v>90</v>
      </c>
    </row>
    <row r="31" spans="1:2">
      <c r="A31" s="8" t="s">
        <v>91</v>
      </c>
      <c r="B31" s="8" t="s">
        <v>92</v>
      </c>
    </row>
    <row r="32" spans="1:2">
      <c r="A32" s="7" t="s">
        <v>93</v>
      </c>
      <c r="B32" s="7" t="s">
        <v>94</v>
      </c>
    </row>
    <row r="33" spans="1:2">
      <c r="A33" s="8" t="s">
        <v>95</v>
      </c>
      <c r="B33" s="8" t="s">
        <v>96</v>
      </c>
    </row>
    <row r="34" spans="1:2">
      <c r="A34" s="7" t="s">
        <v>97</v>
      </c>
      <c r="B34" s="7" t="s">
        <v>98</v>
      </c>
    </row>
    <row r="35" spans="1:2">
      <c r="A35" s="8" t="s">
        <v>99</v>
      </c>
      <c r="B35" s="8" t="s">
        <v>100</v>
      </c>
    </row>
    <row r="36" spans="1:2">
      <c r="A36" s="7" t="s">
        <v>101</v>
      </c>
      <c r="B36" s="7" t="s">
        <v>102</v>
      </c>
    </row>
    <row r="37" spans="1:2">
      <c r="A37" s="8" t="s">
        <v>103</v>
      </c>
      <c r="B37" s="8" t="s">
        <v>104</v>
      </c>
    </row>
    <row r="38" spans="1:2">
      <c r="A38" s="7" t="s">
        <v>105</v>
      </c>
      <c r="B38" s="7" t="s">
        <v>106</v>
      </c>
    </row>
    <row r="39" spans="1:2">
      <c r="A39" s="8" t="s">
        <v>107</v>
      </c>
      <c r="B39" s="8" t="s">
        <v>108</v>
      </c>
    </row>
    <row r="40" spans="1:2">
      <c r="A40" s="7" t="s">
        <v>109</v>
      </c>
      <c r="B40" s="7" t="s">
        <v>110</v>
      </c>
    </row>
    <row r="41" spans="1:2">
      <c r="A41" s="8" t="s">
        <v>111</v>
      </c>
      <c r="B41" s="8" t="s">
        <v>112</v>
      </c>
    </row>
    <row r="42" spans="1:2">
      <c r="A42" s="7" t="s">
        <v>113</v>
      </c>
      <c r="B42" s="7" t="s">
        <v>114</v>
      </c>
    </row>
    <row r="43" spans="1:2">
      <c r="A43" s="8" t="s">
        <v>115</v>
      </c>
      <c r="B43" s="8" t="s">
        <v>116</v>
      </c>
    </row>
    <row r="44" spans="1:2">
      <c r="A44" s="7" t="s">
        <v>117</v>
      </c>
      <c r="B44" s="7" t="s">
        <v>118</v>
      </c>
    </row>
    <row r="45" spans="1:2">
      <c r="A45" s="8" t="s">
        <v>119</v>
      </c>
      <c r="B45" s="8" t="s">
        <v>120</v>
      </c>
    </row>
    <row r="46" spans="1:2">
      <c r="A46" s="7" t="s">
        <v>121</v>
      </c>
      <c r="B46" s="7" t="s">
        <v>122</v>
      </c>
    </row>
    <row r="47" spans="1:2">
      <c r="A47" s="8" t="s">
        <v>123</v>
      </c>
      <c r="B47" s="8" t="s">
        <v>124</v>
      </c>
    </row>
    <row r="48" spans="1:2">
      <c r="A48" s="7" t="s">
        <v>28</v>
      </c>
      <c r="B48" s="7" t="s">
        <v>125</v>
      </c>
    </row>
    <row r="49" spans="1:2">
      <c r="A49" s="8" t="s">
        <v>126</v>
      </c>
      <c r="B49" s="8" t="s">
        <v>127</v>
      </c>
    </row>
    <row r="50" spans="1:2">
      <c r="A50" s="7" t="s">
        <v>128</v>
      </c>
      <c r="B50" s="7" t="s">
        <v>129</v>
      </c>
    </row>
    <row r="51" spans="1:2">
      <c r="A51" s="8" t="s">
        <v>130</v>
      </c>
      <c r="B51" s="8" t="s">
        <v>131</v>
      </c>
    </row>
    <row r="52" spans="1:2">
      <c r="A52" s="7" t="s">
        <v>132</v>
      </c>
      <c r="B52" s="7" t="s">
        <v>133</v>
      </c>
    </row>
    <row r="53" spans="1:2">
      <c r="A53" s="8" t="s">
        <v>134</v>
      </c>
      <c r="B53" s="8" t="s">
        <v>135</v>
      </c>
    </row>
    <row r="54" spans="1:2">
      <c r="A54" s="7" t="s">
        <v>136</v>
      </c>
      <c r="B54" s="7" t="s">
        <v>137</v>
      </c>
    </row>
    <row r="55" spans="1:2">
      <c r="A55" s="8" t="s">
        <v>138</v>
      </c>
      <c r="B55" s="8" t="s">
        <v>139</v>
      </c>
    </row>
    <row r="56" spans="1:2">
      <c r="A56" s="7" t="s">
        <v>140</v>
      </c>
      <c r="B56" s="7" t="s">
        <v>141</v>
      </c>
    </row>
    <row r="57" spans="1:2">
      <c r="A57" s="8" t="s">
        <v>142</v>
      </c>
      <c r="B57" s="8" t="s">
        <v>143</v>
      </c>
    </row>
    <row r="58" spans="1:2">
      <c r="A58" s="7" t="s">
        <v>144</v>
      </c>
      <c r="B58" s="7" t="s">
        <v>145</v>
      </c>
    </row>
    <row r="59" spans="1:2">
      <c r="A59" s="8" t="s">
        <v>146</v>
      </c>
      <c r="B59" s="8" t="s">
        <v>147</v>
      </c>
    </row>
    <row r="60" spans="1:2">
      <c r="A60" s="7" t="s">
        <v>148</v>
      </c>
      <c r="B60" s="7" t="s">
        <v>149</v>
      </c>
    </row>
    <row r="61" spans="1:2">
      <c r="A61" s="8" t="s">
        <v>150</v>
      </c>
      <c r="B61" s="8" t="s">
        <v>151</v>
      </c>
    </row>
    <row r="62" spans="1:2">
      <c r="A62" s="7" t="s">
        <v>152</v>
      </c>
      <c r="B62" s="7" t="s">
        <v>153</v>
      </c>
    </row>
    <row r="63" spans="1:2">
      <c r="A63" s="8" t="s">
        <v>154</v>
      </c>
      <c r="B63" s="8" t="s">
        <v>155</v>
      </c>
    </row>
    <row r="64" spans="1:2">
      <c r="A64" s="7" t="s">
        <v>156</v>
      </c>
      <c r="B64" s="7" t="s">
        <v>157</v>
      </c>
    </row>
    <row r="65" spans="1:2">
      <c r="A65" s="8" t="s">
        <v>158</v>
      </c>
      <c r="B65" s="8" t="s">
        <v>159</v>
      </c>
    </row>
    <row r="66" spans="1:2">
      <c r="A66" s="7" t="s">
        <v>160</v>
      </c>
      <c r="B66" s="7" t="s">
        <v>161</v>
      </c>
    </row>
    <row r="67" spans="1:2">
      <c r="A67" s="8" t="s">
        <v>162</v>
      </c>
      <c r="B67" s="8" t="s">
        <v>163</v>
      </c>
    </row>
    <row r="68" spans="1:2">
      <c r="A68" s="7" t="s">
        <v>164</v>
      </c>
      <c r="B68" s="7" t="s">
        <v>165</v>
      </c>
    </row>
    <row r="69" spans="1:2">
      <c r="A69" s="8" t="s">
        <v>166</v>
      </c>
      <c r="B69" s="8" t="s">
        <v>167</v>
      </c>
    </row>
    <row r="70" spans="1:2">
      <c r="A70" s="7" t="s">
        <v>168</v>
      </c>
      <c r="B70" s="7" t="s">
        <v>169</v>
      </c>
    </row>
    <row r="71" spans="1:2">
      <c r="A71" s="8" t="s">
        <v>170</v>
      </c>
      <c r="B71" s="8" t="s">
        <v>171</v>
      </c>
    </row>
    <row r="72" spans="1:2">
      <c r="A72" s="7" t="s">
        <v>172</v>
      </c>
      <c r="B72" s="7" t="s">
        <v>173</v>
      </c>
    </row>
    <row r="73" spans="1:2">
      <c r="A73" s="8" t="s">
        <v>174</v>
      </c>
      <c r="B73" s="8" t="s">
        <v>175</v>
      </c>
    </row>
    <row r="74" spans="1:2">
      <c r="A74" s="7" t="s">
        <v>176</v>
      </c>
      <c r="B74" s="7" t="s">
        <v>177</v>
      </c>
    </row>
    <row r="75" spans="1:2">
      <c r="A75" s="8" t="s">
        <v>178</v>
      </c>
      <c r="B75" s="8" t="s">
        <v>179</v>
      </c>
    </row>
    <row r="76" spans="1:2">
      <c r="A76" s="7" t="s">
        <v>180</v>
      </c>
      <c r="B76" s="7" t="s">
        <v>181</v>
      </c>
    </row>
    <row r="77" spans="1:2">
      <c r="A77" s="8" t="s">
        <v>182</v>
      </c>
      <c r="B77" s="8" t="s">
        <v>183</v>
      </c>
    </row>
    <row r="78" spans="1:2">
      <c r="A78" s="7" t="s">
        <v>184</v>
      </c>
      <c r="B78" s="7" t="s">
        <v>185</v>
      </c>
    </row>
    <row r="79" spans="1:2">
      <c r="A79" s="8" t="s">
        <v>186</v>
      </c>
      <c r="B79" s="8" t="s">
        <v>187</v>
      </c>
    </row>
    <row r="80" spans="1:2">
      <c r="A80" s="7" t="s">
        <v>188</v>
      </c>
      <c r="B80" s="7" t="s">
        <v>189</v>
      </c>
    </row>
    <row r="81" spans="1:2">
      <c r="A81" s="8" t="s">
        <v>190</v>
      </c>
      <c r="B81" s="8" t="s">
        <v>191</v>
      </c>
    </row>
    <row r="82" spans="1:2">
      <c r="A82" s="7" t="s">
        <v>192</v>
      </c>
      <c r="B82" s="7" t="s">
        <v>193</v>
      </c>
    </row>
    <row r="83" spans="1:2">
      <c r="A83" s="8" t="s">
        <v>194</v>
      </c>
      <c r="B83" s="8" t="s">
        <v>195</v>
      </c>
    </row>
    <row r="84" spans="1:2">
      <c r="A84" s="7" t="s">
        <v>196</v>
      </c>
      <c r="B84" s="7" t="s">
        <v>197</v>
      </c>
    </row>
    <row r="85" spans="1:2">
      <c r="A85" s="8" t="s">
        <v>198</v>
      </c>
      <c r="B85" s="8" t="s">
        <v>199</v>
      </c>
    </row>
    <row r="86" spans="1:2">
      <c r="A86" s="7" t="s">
        <v>200</v>
      </c>
      <c r="B86" s="7" t="s">
        <v>201</v>
      </c>
    </row>
    <row r="87" spans="1:2">
      <c r="A87" s="8" t="s">
        <v>202</v>
      </c>
      <c r="B87" s="8" t="s">
        <v>203</v>
      </c>
    </row>
    <row r="88" spans="1:2">
      <c r="A88" s="7" t="s">
        <v>204</v>
      </c>
      <c r="B88" s="7" t="s">
        <v>205</v>
      </c>
    </row>
    <row r="89" spans="1:2">
      <c r="A89" s="8" t="s">
        <v>206</v>
      </c>
      <c r="B89" s="8" t="s">
        <v>207</v>
      </c>
    </row>
    <row r="90" spans="1:2">
      <c r="A90" s="7" t="s">
        <v>208</v>
      </c>
      <c r="B90" s="7" t="s">
        <v>209</v>
      </c>
    </row>
    <row r="91" spans="1:2">
      <c r="A91" s="8" t="s">
        <v>210</v>
      </c>
      <c r="B91" s="8" t="s">
        <v>211</v>
      </c>
    </row>
    <row r="92" spans="1:2">
      <c r="A92" s="7" t="s">
        <v>212</v>
      </c>
      <c r="B92" s="7" t="s">
        <v>213</v>
      </c>
    </row>
    <row r="93" spans="1:2">
      <c r="A93" s="8" t="s">
        <v>214</v>
      </c>
      <c r="B93" s="8" t="s">
        <v>215</v>
      </c>
    </row>
    <row r="94" spans="1:2">
      <c r="A94" s="7" t="s">
        <v>216</v>
      </c>
      <c r="B94" s="7" t="s">
        <v>217</v>
      </c>
    </row>
    <row r="95" spans="1:2">
      <c r="A95" s="8" t="s">
        <v>218</v>
      </c>
      <c r="B95" s="8" t="s">
        <v>219</v>
      </c>
    </row>
    <row r="96" spans="1:2">
      <c r="A96" s="7" t="s">
        <v>220</v>
      </c>
      <c r="B96" s="7" t="s">
        <v>221</v>
      </c>
    </row>
    <row r="97" spans="1:2">
      <c r="A97" s="8" t="s">
        <v>222</v>
      </c>
      <c r="B97" s="8" t="s">
        <v>223</v>
      </c>
    </row>
    <row r="98" spans="1:2">
      <c r="A98" s="7" t="s">
        <v>224</v>
      </c>
      <c r="B98" s="7" t="s">
        <v>225</v>
      </c>
    </row>
    <row r="99" spans="1:2">
      <c r="A99" s="8" t="s">
        <v>226</v>
      </c>
      <c r="B99" s="8" t="s">
        <v>227</v>
      </c>
    </row>
    <row r="100" spans="1:2">
      <c r="A100" s="7" t="s">
        <v>228</v>
      </c>
      <c r="B100" s="7" t="s">
        <v>229</v>
      </c>
    </row>
    <row r="101" spans="1:2">
      <c r="A101" s="8" t="s">
        <v>230</v>
      </c>
      <c r="B101" s="8" t="s">
        <v>231</v>
      </c>
    </row>
    <row r="102" spans="1:2">
      <c r="A102" s="7" t="s">
        <v>232</v>
      </c>
      <c r="B102" s="7" t="s">
        <v>233</v>
      </c>
    </row>
    <row r="103" spans="1:2">
      <c r="A103" s="8" t="s">
        <v>234</v>
      </c>
      <c r="B103" s="8" t="s">
        <v>235</v>
      </c>
    </row>
    <row r="104" spans="1:2">
      <c r="A104" s="7" t="s">
        <v>236</v>
      </c>
      <c r="B104" s="7" t="s">
        <v>231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60C25-E1B5-4FF0-9CF9-FC9FC3B89BC5}">
  <dimension ref="A1"/>
  <sheetViews>
    <sheetView workbookViewId="0">
      <selection activeCell="D28" sqref="D28"/>
    </sheetView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932072-3609-431E-BD15-1A2E22A0A5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2026-09-01T04:48:28Z</dcterms:created>
  <dcterms:modified xsi:type="dcterms:W3CDTF">2026-09-01T15:53:27Z</dcterms:modified>
  <cp:category/>
  <cp:contentStatus/>
</cp:coreProperties>
</file>